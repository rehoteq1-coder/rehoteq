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 Register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000000"/>
      <sz val="12"/>
    </font>
    <font>
      <name val="Arial"/>
      <sz val="9"/>
    </font>
    <font>
      <name val="Arial"/>
      <b val="1"/>
      <sz val="8"/>
    </font>
    <font>
      <name val="Arial"/>
      <b val="1"/>
      <sz val="9"/>
    </font>
    <font>
      <name val="Arial"/>
      <sz val="8"/>
    </font>
    <font>
      <name val="Arial"/>
      <b val="1"/>
      <color rgb="002D2D2D"/>
      <sz val="12"/>
    </font>
    <font>
      <name val="Arial"/>
      <color rgb="00FFFFFF"/>
      <sz val="9"/>
    </font>
    <font>
      <name val="Arial"/>
      <b val="1"/>
      <color rgb="007A5C1A"/>
      <sz val="10"/>
    </font>
    <font>
      <name val="Arial"/>
      <color rgb="00000000"/>
      <sz val="10"/>
    </font>
    <font>
      <name val="Arial"/>
      <color rgb="00999999"/>
      <sz val="8"/>
    </font>
  </fonts>
  <fills count="9">
    <fill>
      <patternFill/>
    </fill>
    <fill>
      <patternFill patternType="gray125"/>
    </fill>
    <fill>
      <patternFill patternType="solid">
        <fgColor rgb="00C9A84C"/>
      </patternFill>
    </fill>
    <fill>
      <patternFill patternType="solid">
        <fgColor rgb="00FFF8E7"/>
      </patternFill>
    </fill>
    <fill>
      <patternFill patternType="solid">
        <fgColor rgb="00E8D5A3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FAFAFA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6" customWidth="1" min="33" max="33"/>
    <col width="6" customWidth="1" min="34" max="34"/>
    <col width="6" customWidth="1" min="35" max="35"/>
    <col width="6" customWidth="1" min="36" max="36"/>
  </cols>
  <sheetData>
    <row r="1" ht="26" customHeight="1">
      <c r="A1" s="1" t="inlineStr">
        <is>
          <t>REHOTEQ TECHNOLOGIES — STUDENT ATTENDANCE REGISTER (Full Term)</t>
        </is>
      </c>
    </row>
    <row r="2" ht="20" customHeight="1">
      <c r="A2" s="2" t="inlineStr">
        <is>
          <t>School: _______________________ | Class: __________ | Subject: __________ | Term: __________ | Teacher: __________________________</t>
        </is>
      </c>
    </row>
    <row r="3" ht="20" customHeight="1">
      <c r="A3" s="3" t="inlineStr">
        <is>
          <t>S/N</t>
        </is>
      </c>
      <c r="B3" s="3" t="inlineStr">
        <is>
          <t>Student Name</t>
        </is>
      </c>
      <c r="C3" s="4" t="n">
        <v>1</v>
      </c>
      <c r="D3" s="4" t="n">
        <v>2</v>
      </c>
      <c r="E3" s="4" t="n">
        <v>3</v>
      </c>
      <c r="F3" s="4" t="n">
        <v>4</v>
      </c>
      <c r="G3" s="4" t="n">
        <v>5</v>
      </c>
      <c r="H3" s="4" t="n">
        <v>6</v>
      </c>
      <c r="I3" s="4" t="n">
        <v>7</v>
      </c>
      <c r="J3" s="4" t="n">
        <v>8</v>
      </c>
      <c r="K3" s="4" t="n">
        <v>9</v>
      </c>
      <c r="L3" s="4" t="n">
        <v>10</v>
      </c>
      <c r="M3" s="4" t="n">
        <v>11</v>
      </c>
      <c r="N3" s="4" t="n">
        <v>12</v>
      </c>
      <c r="O3" s="4" t="n">
        <v>13</v>
      </c>
      <c r="P3" s="4" t="n">
        <v>14</v>
      </c>
      <c r="Q3" s="4" t="n">
        <v>15</v>
      </c>
      <c r="R3" s="4" t="n">
        <v>16</v>
      </c>
      <c r="S3" s="4" t="n">
        <v>17</v>
      </c>
      <c r="T3" s="4" t="n">
        <v>18</v>
      </c>
      <c r="U3" s="4" t="n">
        <v>19</v>
      </c>
      <c r="V3" s="4" t="n">
        <v>20</v>
      </c>
      <c r="W3" s="4" t="n">
        <v>21</v>
      </c>
      <c r="X3" s="4" t="n">
        <v>22</v>
      </c>
      <c r="Y3" s="4" t="n">
        <v>23</v>
      </c>
      <c r="Z3" s="4" t="n">
        <v>24</v>
      </c>
      <c r="AA3" s="4" t="n">
        <v>25</v>
      </c>
      <c r="AB3" s="4" t="n">
        <v>26</v>
      </c>
      <c r="AC3" s="4" t="n">
        <v>27</v>
      </c>
      <c r="AD3" s="4" t="n">
        <v>28</v>
      </c>
      <c r="AE3" s="4" t="n">
        <v>29</v>
      </c>
      <c r="AF3" s="4" t="n">
        <v>30</v>
      </c>
      <c r="AG3" s="5" t="inlineStr">
        <is>
          <t>P</t>
        </is>
      </c>
      <c r="AH3" s="5" t="inlineStr">
        <is>
          <t>A</t>
        </is>
      </c>
      <c r="AI3" s="5" t="inlineStr">
        <is>
          <t>%</t>
        </is>
      </c>
      <c r="AJ3" s="5" t="inlineStr">
        <is>
          <t>Rmk</t>
        </is>
      </c>
    </row>
    <row r="4" ht="16" customHeight="1">
      <c r="A4" s="6" t="n">
        <v>1</v>
      </c>
      <c r="B4" s="7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9">
        <f>COUNTIF(C4:AF4,"P")</f>
        <v/>
      </c>
      <c r="AH4" s="10">
        <f>COUNTIF(C4:AF4,"A")</f>
        <v/>
      </c>
      <c r="AI4" s="11">
        <f>IFERROR(ROUND(AG4/(AG4+AH4)*100,0),"")</f>
        <v/>
      </c>
      <c r="AJ4" s="12">
        <f>IF(AI4="","",IF(AI4&gt;=75,"Good","Low"))</f>
        <v/>
      </c>
    </row>
    <row r="5" ht="16" customHeight="1">
      <c r="A5" s="6" t="n">
        <v>2</v>
      </c>
      <c r="B5" s="13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9">
        <f>COUNTIF(C5:AF5,"P")</f>
        <v/>
      </c>
      <c r="AH5" s="10">
        <f>COUNTIF(C5:AF5,"A")</f>
        <v/>
      </c>
      <c r="AI5" s="11">
        <f>IFERROR(ROUND(AG5/(AG5+AH5)*100,0),"")</f>
        <v/>
      </c>
      <c r="AJ5" s="15">
        <f>IF(AI5="","",IF(AI5&gt;=75,"Good","Low"))</f>
        <v/>
      </c>
    </row>
    <row r="6" ht="16" customHeight="1">
      <c r="A6" s="6" t="n">
        <v>3</v>
      </c>
      <c r="B6" s="7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9">
        <f>COUNTIF(C6:AF6,"P")</f>
        <v/>
      </c>
      <c r="AH6" s="10">
        <f>COUNTIF(C6:AF6,"A")</f>
        <v/>
      </c>
      <c r="AI6" s="11">
        <f>IFERROR(ROUND(AG6/(AG6+AH6)*100,0),"")</f>
        <v/>
      </c>
      <c r="AJ6" s="12">
        <f>IF(AI6="","",IF(AI6&gt;=75,"Good","Low"))</f>
        <v/>
      </c>
    </row>
    <row r="7" ht="16" customHeight="1">
      <c r="A7" s="6" t="n">
        <v>4</v>
      </c>
      <c r="B7" s="13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9">
        <f>COUNTIF(C7:AF7,"P")</f>
        <v/>
      </c>
      <c r="AH7" s="10">
        <f>COUNTIF(C7:AF7,"A")</f>
        <v/>
      </c>
      <c r="AI7" s="11">
        <f>IFERROR(ROUND(AG7/(AG7+AH7)*100,0),"")</f>
        <v/>
      </c>
      <c r="AJ7" s="15">
        <f>IF(AI7="","",IF(AI7&gt;=75,"Good","Low"))</f>
        <v/>
      </c>
    </row>
    <row r="8" ht="16" customHeight="1">
      <c r="A8" s="6" t="n">
        <v>5</v>
      </c>
      <c r="B8" s="7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9">
        <f>COUNTIF(C8:AF8,"P")</f>
        <v/>
      </c>
      <c r="AH8" s="10">
        <f>COUNTIF(C8:AF8,"A")</f>
        <v/>
      </c>
      <c r="AI8" s="11">
        <f>IFERROR(ROUND(AG8/(AG8+AH8)*100,0),"")</f>
        <v/>
      </c>
      <c r="AJ8" s="12">
        <f>IF(AI8="","",IF(AI8&gt;=75,"Good","Low"))</f>
        <v/>
      </c>
    </row>
    <row r="9" ht="16" customHeight="1">
      <c r="A9" s="6" t="n">
        <v>6</v>
      </c>
      <c r="B9" s="13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9">
        <f>COUNTIF(C9:AF9,"P")</f>
        <v/>
      </c>
      <c r="AH9" s="10">
        <f>COUNTIF(C9:AF9,"A")</f>
        <v/>
      </c>
      <c r="AI9" s="11">
        <f>IFERROR(ROUND(AG9/(AG9+AH9)*100,0),"")</f>
        <v/>
      </c>
      <c r="AJ9" s="15">
        <f>IF(AI9="","",IF(AI9&gt;=75,"Good","Low"))</f>
        <v/>
      </c>
    </row>
    <row r="10" ht="16" customHeight="1">
      <c r="A10" s="6" t="n">
        <v>7</v>
      </c>
      <c r="B10" s="7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9">
        <f>COUNTIF(C10:AF10,"P")</f>
        <v/>
      </c>
      <c r="AH10" s="10">
        <f>COUNTIF(C10:AF10,"A")</f>
        <v/>
      </c>
      <c r="AI10" s="11">
        <f>IFERROR(ROUND(AG10/(AG10+AH10)*100,0),"")</f>
        <v/>
      </c>
      <c r="AJ10" s="12">
        <f>IF(AI10="","",IF(AI10&gt;=75,"Good","Low"))</f>
        <v/>
      </c>
    </row>
    <row r="11" ht="16" customHeight="1">
      <c r="A11" s="6" t="n">
        <v>8</v>
      </c>
      <c r="B11" s="13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9">
        <f>COUNTIF(C11:AF11,"P")</f>
        <v/>
      </c>
      <c r="AH11" s="10">
        <f>COUNTIF(C11:AF11,"A")</f>
        <v/>
      </c>
      <c r="AI11" s="11">
        <f>IFERROR(ROUND(AG11/(AG11+AH11)*100,0),"")</f>
        <v/>
      </c>
      <c r="AJ11" s="15">
        <f>IF(AI11="","",IF(AI11&gt;=75,"Good","Low"))</f>
        <v/>
      </c>
    </row>
    <row r="12" ht="16" customHeight="1">
      <c r="A12" s="6" t="n">
        <v>9</v>
      </c>
      <c r="B12" s="7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9">
        <f>COUNTIF(C12:AF12,"P")</f>
        <v/>
      </c>
      <c r="AH12" s="10">
        <f>COUNTIF(C12:AF12,"A")</f>
        <v/>
      </c>
      <c r="AI12" s="11">
        <f>IFERROR(ROUND(AG12/(AG12+AH12)*100,0),"")</f>
        <v/>
      </c>
      <c r="AJ12" s="12">
        <f>IF(AI12="","",IF(AI12&gt;=75,"Good","Low"))</f>
        <v/>
      </c>
    </row>
    <row r="13" ht="16" customHeight="1">
      <c r="A13" s="6" t="n">
        <v>10</v>
      </c>
      <c r="B13" s="13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9">
        <f>COUNTIF(C13:AF13,"P")</f>
        <v/>
      </c>
      <c r="AH13" s="10">
        <f>COUNTIF(C13:AF13,"A")</f>
        <v/>
      </c>
      <c r="AI13" s="11">
        <f>IFERROR(ROUND(AG13/(AG13+AH13)*100,0),"")</f>
        <v/>
      </c>
      <c r="AJ13" s="15">
        <f>IF(AI13="","",IF(AI13&gt;=75,"Good","Low"))</f>
        <v/>
      </c>
    </row>
    <row r="14" ht="16" customHeight="1">
      <c r="A14" s="6" t="n">
        <v>11</v>
      </c>
      <c r="B14" s="7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9">
        <f>COUNTIF(C14:AF14,"P")</f>
        <v/>
      </c>
      <c r="AH14" s="10">
        <f>COUNTIF(C14:AF14,"A")</f>
        <v/>
      </c>
      <c r="AI14" s="11">
        <f>IFERROR(ROUND(AG14/(AG14+AH14)*100,0),"")</f>
        <v/>
      </c>
      <c r="AJ14" s="12">
        <f>IF(AI14="","",IF(AI14&gt;=75,"Good","Low"))</f>
        <v/>
      </c>
    </row>
    <row r="15" ht="16" customHeight="1">
      <c r="A15" s="6" t="n">
        <v>12</v>
      </c>
      <c r="B15" s="13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9">
        <f>COUNTIF(C15:AF15,"P")</f>
        <v/>
      </c>
      <c r="AH15" s="10">
        <f>COUNTIF(C15:AF15,"A")</f>
        <v/>
      </c>
      <c r="AI15" s="11">
        <f>IFERROR(ROUND(AG15/(AG15+AH15)*100,0),"")</f>
        <v/>
      </c>
      <c r="AJ15" s="15">
        <f>IF(AI15="","",IF(AI15&gt;=75,"Good","Low"))</f>
        <v/>
      </c>
    </row>
    <row r="16" ht="16" customHeight="1">
      <c r="A16" s="6" t="n">
        <v>13</v>
      </c>
      <c r="B16" s="7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9">
        <f>COUNTIF(C16:AF16,"P")</f>
        <v/>
      </c>
      <c r="AH16" s="10">
        <f>COUNTIF(C16:AF16,"A")</f>
        <v/>
      </c>
      <c r="AI16" s="11">
        <f>IFERROR(ROUND(AG16/(AG16+AH16)*100,0),"")</f>
        <v/>
      </c>
      <c r="AJ16" s="12">
        <f>IF(AI16="","",IF(AI16&gt;=75,"Good","Low"))</f>
        <v/>
      </c>
    </row>
    <row r="17" ht="16" customHeight="1">
      <c r="A17" s="6" t="n">
        <v>14</v>
      </c>
      <c r="B17" s="13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9">
        <f>COUNTIF(C17:AF17,"P")</f>
        <v/>
      </c>
      <c r="AH17" s="10">
        <f>COUNTIF(C17:AF17,"A")</f>
        <v/>
      </c>
      <c r="AI17" s="11">
        <f>IFERROR(ROUND(AG17/(AG17+AH17)*100,0),"")</f>
        <v/>
      </c>
      <c r="AJ17" s="15">
        <f>IF(AI17="","",IF(AI17&gt;=75,"Good","Low"))</f>
        <v/>
      </c>
    </row>
    <row r="18" ht="16" customHeight="1">
      <c r="A18" s="6" t="n">
        <v>15</v>
      </c>
      <c r="B18" s="7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9">
        <f>COUNTIF(C18:AF18,"P")</f>
        <v/>
      </c>
      <c r="AH18" s="10">
        <f>COUNTIF(C18:AF18,"A")</f>
        <v/>
      </c>
      <c r="AI18" s="11">
        <f>IFERROR(ROUND(AG18/(AG18+AH18)*100,0),"")</f>
        <v/>
      </c>
      <c r="AJ18" s="12">
        <f>IF(AI18="","",IF(AI18&gt;=75,"Good","Low"))</f>
        <v/>
      </c>
    </row>
    <row r="19" ht="16" customHeight="1">
      <c r="A19" s="6" t="n">
        <v>16</v>
      </c>
      <c r="B19" s="13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9">
        <f>COUNTIF(C19:AF19,"P")</f>
        <v/>
      </c>
      <c r="AH19" s="10">
        <f>COUNTIF(C19:AF19,"A")</f>
        <v/>
      </c>
      <c r="AI19" s="11">
        <f>IFERROR(ROUND(AG19/(AG19+AH19)*100,0),"")</f>
        <v/>
      </c>
      <c r="AJ19" s="15">
        <f>IF(AI19="","",IF(AI19&gt;=75,"Good","Low"))</f>
        <v/>
      </c>
    </row>
    <row r="20" ht="16" customHeight="1">
      <c r="A20" s="6" t="n">
        <v>17</v>
      </c>
      <c r="B20" s="7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9">
        <f>COUNTIF(C20:AF20,"P")</f>
        <v/>
      </c>
      <c r="AH20" s="10">
        <f>COUNTIF(C20:AF20,"A")</f>
        <v/>
      </c>
      <c r="AI20" s="11">
        <f>IFERROR(ROUND(AG20/(AG20+AH20)*100,0),"")</f>
        <v/>
      </c>
      <c r="AJ20" s="12">
        <f>IF(AI20="","",IF(AI20&gt;=75,"Good","Low"))</f>
        <v/>
      </c>
    </row>
    <row r="21" ht="16" customHeight="1">
      <c r="A21" s="6" t="n">
        <v>18</v>
      </c>
      <c r="B21" s="13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9">
        <f>COUNTIF(C21:AF21,"P")</f>
        <v/>
      </c>
      <c r="AH21" s="10">
        <f>COUNTIF(C21:AF21,"A")</f>
        <v/>
      </c>
      <c r="AI21" s="11">
        <f>IFERROR(ROUND(AG21/(AG21+AH21)*100,0),"")</f>
        <v/>
      </c>
      <c r="AJ21" s="15">
        <f>IF(AI21="","",IF(AI21&gt;=75,"Good","Low"))</f>
        <v/>
      </c>
    </row>
    <row r="22" ht="16" customHeight="1">
      <c r="A22" s="6" t="n">
        <v>19</v>
      </c>
      <c r="B22" s="7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9">
        <f>COUNTIF(C22:AF22,"P")</f>
        <v/>
      </c>
      <c r="AH22" s="10">
        <f>COUNTIF(C22:AF22,"A")</f>
        <v/>
      </c>
      <c r="AI22" s="11">
        <f>IFERROR(ROUND(AG22/(AG22+AH22)*100,0),"")</f>
        <v/>
      </c>
      <c r="AJ22" s="12">
        <f>IF(AI22="","",IF(AI22&gt;=75,"Good","Low"))</f>
        <v/>
      </c>
    </row>
    <row r="23" ht="16" customHeight="1">
      <c r="A23" s="6" t="n">
        <v>20</v>
      </c>
      <c r="B23" s="13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9">
        <f>COUNTIF(C23:AF23,"P")</f>
        <v/>
      </c>
      <c r="AH23" s="10">
        <f>COUNTIF(C23:AF23,"A")</f>
        <v/>
      </c>
      <c r="AI23" s="11">
        <f>IFERROR(ROUND(AG23/(AG23+AH23)*100,0),"")</f>
        <v/>
      </c>
      <c r="AJ23" s="15">
        <f>IF(AI23="","",IF(AI23&gt;=75,"Good","Low"))</f>
        <v/>
      </c>
    </row>
    <row r="24" ht="16" customHeight="1">
      <c r="A24" s="6" t="n">
        <v>21</v>
      </c>
      <c r="B24" s="7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9">
        <f>COUNTIF(C24:AF24,"P")</f>
        <v/>
      </c>
      <c r="AH24" s="10">
        <f>COUNTIF(C24:AF24,"A")</f>
        <v/>
      </c>
      <c r="AI24" s="11">
        <f>IFERROR(ROUND(AG24/(AG24+AH24)*100,0),"")</f>
        <v/>
      </c>
      <c r="AJ24" s="12">
        <f>IF(AI24="","",IF(AI24&gt;=75,"Good","Low"))</f>
        <v/>
      </c>
    </row>
    <row r="25" ht="16" customHeight="1">
      <c r="A25" s="6" t="n">
        <v>22</v>
      </c>
      <c r="B25" s="13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9">
        <f>COUNTIF(C25:AF25,"P")</f>
        <v/>
      </c>
      <c r="AH25" s="10">
        <f>COUNTIF(C25:AF25,"A")</f>
        <v/>
      </c>
      <c r="AI25" s="11">
        <f>IFERROR(ROUND(AG25/(AG25+AH25)*100,0),"")</f>
        <v/>
      </c>
      <c r="AJ25" s="15">
        <f>IF(AI25="","",IF(AI25&gt;=75,"Good","Low"))</f>
        <v/>
      </c>
    </row>
    <row r="26" ht="16" customHeight="1">
      <c r="A26" s="6" t="n">
        <v>23</v>
      </c>
      <c r="B26" s="7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9">
        <f>COUNTIF(C26:AF26,"P")</f>
        <v/>
      </c>
      <c r="AH26" s="10">
        <f>COUNTIF(C26:AF26,"A")</f>
        <v/>
      </c>
      <c r="AI26" s="11">
        <f>IFERROR(ROUND(AG26/(AG26+AH26)*100,0),"")</f>
        <v/>
      </c>
      <c r="AJ26" s="12">
        <f>IF(AI26="","",IF(AI26&gt;=75,"Good","Low"))</f>
        <v/>
      </c>
    </row>
    <row r="27" ht="16" customHeight="1">
      <c r="A27" s="6" t="n">
        <v>24</v>
      </c>
      <c r="B27" s="13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9">
        <f>COUNTIF(C27:AF27,"P")</f>
        <v/>
      </c>
      <c r="AH27" s="10">
        <f>COUNTIF(C27:AF27,"A")</f>
        <v/>
      </c>
      <c r="AI27" s="11">
        <f>IFERROR(ROUND(AG27/(AG27+AH27)*100,0),"")</f>
        <v/>
      </c>
      <c r="AJ27" s="15">
        <f>IF(AI27="","",IF(AI27&gt;=75,"Good","Low"))</f>
        <v/>
      </c>
    </row>
    <row r="28" ht="16" customHeight="1">
      <c r="A28" s="6" t="n">
        <v>25</v>
      </c>
      <c r="B28" s="7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9">
        <f>COUNTIF(C28:AF28,"P")</f>
        <v/>
      </c>
      <c r="AH28" s="10">
        <f>COUNTIF(C28:AF28,"A")</f>
        <v/>
      </c>
      <c r="AI28" s="11">
        <f>IFERROR(ROUND(AG28/(AG28+AH28)*100,0),"")</f>
        <v/>
      </c>
      <c r="AJ28" s="12">
        <f>IF(AI28="","",IF(AI28&gt;=75,"Good","Low"))</f>
        <v/>
      </c>
    </row>
    <row r="29" ht="16" customHeight="1">
      <c r="A29" s="6" t="n">
        <v>26</v>
      </c>
      <c r="B29" s="13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9">
        <f>COUNTIF(C29:AF29,"P")</f>
        <v/>
      </c>
      <c r="AH29" s="10">
        <f>COUNTIF(C29:AF29,"A")</f>
        <v/>
      </c>
      <c r="AI29" s="11">
        <f>IFERROR(ROUND(AG29/(AG29+AH29)*100,0),"")</f>
        <v/>
      </c>
      <c r="AJ29" s="15">
        <f>IF(AI29="","",IF(AI29&gt;=75,"Good","Low"))</f>
        <v/>
      </c>
    </row>
    <row r="30" ht="16" customHeight="1">
      <c r="A30" s="6" t="n">
        <v>27</v>
      </c>
      <c r="B30" s="7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9">
        <f>COUNTIF(C30:AF30,"P")</f>
        <v/>
      </c>
      <c r="AH30" s="10">
        <f>COUNTIF(C30:AF30,"A")</f>
        <v/>
      </c>
      <c r="AI30" s="11">
        <f>IFERROR(ROUND(AG30/(AG30+AH30)*100,0),"")</f>
        <v/>
      </c>
      <c r="AJ30" s="12">
        <f>IF(AI30="","",IF(AI30&gt;=75,"Good","Low"))</f>
        <v/>
      </c>
    </row>
    <row r="31" ht="16" customHeight="1">
      <c r="A31" s="6" t="n">
        <v>28</v>
      </c>
      <c r="B31" s="13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9">
        <f>COUNTIF(C31:AF31,"P")</f>
        <v/>
      </c>
      <c r="AH31" s="10">
        <f>COUNTIF(C31:AF31,"A")</f>
        <v/>
      </c>
      <c r="AI31" s="11">
        <f>IFERROR(ROUND(AG31/(AG31+AH31)*100,0),"")</f>
        <v/>
      </c>
      <c r="AJ31" s="15">
        <f>IF(AI31="","",IF(AI31&gt;=75,"Good","Low"))</f>
        <v/>
      </c>
    </row>
    <row r="32" ht="16" customHeight="1">
      <c r="A32" s="6" t="n">
        <v>29</v>
      </c>
      <c r="B32" s="7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9">
        <f>COUNTIF(C32:AF32,"P")</f>
        <v/>
      </c>
      <c r="AH32" s="10">
        <f>COUNTIF(C32:AF32,"A")</f>
        <v/>
      </c>
      <c r="AI32" s="11">
        <f>IFERROR(ROUND(AG32/(AG32+AH32)*100,0),"")</f>
        <v/>
      </c>
      <c r="AJ32" s="12">
        <f>IF(AI32="","",IF(AI32&gt;=75,"Good","Low"))</f>
        <v/>
      </c>
    </row>
    <row r="33" ht="16" customHeight="1">
      <c r="A33" s="6" t="n">
        <v>30</v>
      </c>
      <c r="B33" s="13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9">
        <f>COUNTIF(C33:AF33,"P")</f>
        <v/>
      </c>
      <c r="AH33" s="10">
        <f>COUNTIF(C33:AF33,"A")</f>
        <v/>
      </c>
      <c r="AI33" s="11">
        <f>IFERROR(ROUND(AG33/(AG33+AH33)*100,0),"")</f>
        <v/>
      </c>
      <c r="AJ33" s="15">
        <f>IF(AI33="","",IF(AI33&gt;=75,"Good","Low"))</f>
        <v/>
      </c>
    </row>
    <row r="34" ht="16" customHeight="1">
      <c r="A34" s="6" t="n">
        <v>31</v>
      </c>
      <c r="B34" s="7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9">
        <f>COUNTIF(C34:AF34,"P")</f>
        <v/>
      </c>
      <c r="AH34" s="10">
        <f>COUNTIF(C34:AF34,"A")</f>
        <v/>
      </c>
      <c r="AI34" s="11">
        <f>IFERROR(ROUND(AG34/(AG34+AH34)*100,0),"")</f>
        <v/>
      </c>
      <c r="AJ34" s="12">
        <f>IF(AI34="","",IF(AI34&gt;=75,"Good","Low"))</f>
        <v/>
      </c>
    </row>
    <row r="35" ht="16" customHeight="1">
      <c r="A35" s="6" t="n">
        <v>32</v>
      </c>
      <c r="B35" s="13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9">
        <f>COUNTIF(C35:AF35,"P")</f>
        <v/>
      </c>
      <c r="AH35" s="10">
        <f>COUNTIF(C35:AF35,"A")</f>
        <v/>
      </c>
      <c r="AI35" s="11">
        <f>IFERROR(ROUND(AG35/(AG35+AH35)*100,0),"")</f>
        <v/>
      </c>
      <c r="AJ35" s="15">
        <f>IF(AI35="","",IF(AI35&gt;=75,"Good","Low"))</f>
        <v/>
      </c>
    </row>
    <row r="36" ht="16" customHeight="1">
      <c r="A36" s="6" t="n">
        <v>33</v>
      </c>
      <c r="B36" s="7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9">
        <f>COUNTIF(C36:AF36,"P")</f>
        <v/>
      </c>
      <c r="AH36" s="10">
        <f>COUNTIF(C36:AF36,"A")</f>
        <v/>
      </c>
      <c r="AI36" s="11">
        <f>IFERROR(ROUND(AG36/(AG36+AH36)*100,0),"")</f>
        <v/>
      </c>
      <c r="AJ36" s="12">
        <f>IF(AI36="","",IF(AI36&gt;=75,"Good","Low"))</f>
        <v/>
      </c>
    </row>
    <row r="37" ht="16" customHeight="1">
      <c r="A37" s="6" t="n">
        <v>34</v>
      </c>
      <c r="B37" s="13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9">
        <f>COUNTIF(C37:AF37,"P")</f>
        <v/>
      </c>
      <c r="AH37" s="10">
        <f>COUNTIF(C37:AF37,"A")</f>
        <v/>
      </c>
      <c r="AI37" s="11">
        <f>IFERROR(ROUND(AG37/(AG37+AH37)*100,0),"")</f>
        <v/>
      </c>
      <c r="AJ37" s="15">
        <f>IF(AI37="","",IF(AI37&gt;=75,"Good","Low"))</f>
        <v/>
      </c>
    </row>
    <row r="38" ht="16" customHeight="1">
      <c r="A38" s="6" t="n">
        <v>35</v>
      </c>
      <c r="B38" s="7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9">
        <f>COUNTIF(C38:AF38,"P")</f>
        <v/>
      </c>
      <c r="AH38" s="10">
        <f>COUNTIF(C38:AF38,"A")</f>
        <v/>
      </c>
      <c r="AI38" s="11">
        <f>IFERROR(ROUND(AG38/(AG38+AH38)*100,0),"")</f>
        <v/>
      </c>
      <c r="AJ38" s="12">
        <f>IF(AI38="","",IF(AI38&gt;=75,"Good","Low"))</f>
        <v/>
      </c>
    </row>
    <row r="39" ht="16" customHeight="1">
      <c r="A39" s="6" t="n">
        <v>36</v>
      </c>
      <c r="B39" s="13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9">
        <f>COUNTIF(C39:AF39,"P")</f>
        <v/>
      </c>
      <c r="AH39" s="10">
        <f>COUNTIF(C39:AF39,"A")</f>
        <v/>
      </c>
      <c r="AI39" s="11">
        <f>IFERROR(ROUND(AG39/(AG39+AH39)*100,0),"")</f>
        <v/>
      </c>
      <c r="AJ39" s="15">
        <f>IF(AI39="","",IF(AI39&gt;=75,"Good","Low"))</f>
        <v/>
      </c>
    </row>
    <row r="40" ht="16" customHeight="1">
      <c r="A40" s="6" t="n">
        <v>37</v>
      </c>
      <c r="B40" s="7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9">
        <f>COUNTIF(C40:AF40,"P")</f>
        <v/>
      </c>
      <c r="AH40" s="10">
        <f>COUNTIF(C40:AF40,"A")</f>
        <v/>
      </c>
      <c r="AI40" s="11">
        <f>IFERROR(ROUND(AG40/(AG40+AH40)*100,0),"")</f>
        <v/>
      </c>
      <c r="AJ40" s="12">
        <f>IF(AI40="","",IF(AI40&gt;=75,"Good","Low"))</f>
        <v/>
      </c>
    </row>
    <row r="41" ht="16" customHeight="1">
      <c r="A41" s="6" t="n">
        <v>38</v>
      </c>
      <c r="B41" s="13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9">
        <f>COUNTIF(C41:AF41,"P")</f>
        <v/>
      </c>
      <c r="AH41" s="10">
        <f>COUNTIF(C41:AF41,"A")</f>
        <v/>
      </c>
      <c r="AI41" s="11">
        <f>IFERROR(ROUND(AG41/(AG41+AH41)*100,0),"")</f>
        <v/>
      </c>
      <c r="AJ41" s="15">
        <f>IF(AI41="","",IF(AI41&gt;=75,"Good","Low"))</f>
        <v/>
      </c>
    </row>
    <row r="42" ht="16" customHeight="1">
      <c r="A42" s="6" t="n">
        <v>39</v>
      </c>
      <c r="B42" s="7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9">
        <f>COUNTIF(C42:AF42,"P")</f>
        <v/>
      </c>
      <c r="AH42" s="10">
        <f>COUNTIF(C42:AF42,"A")</f>
        <v/>
      </c>
      <c r="AI42" s="11">
        <f>IFERROR(ROUND(AG42/(AG42+AH42)*100,0),"")</f>
        <v/>
      </c>
      <c r="AJ42" s="12">
        <f>IF(AI42="","",IF(AI42&gt;=75,"Good","Low"))</f>
        <v/>
      </c>
    </row>
    <row r="43" ht="16" customHeight="1">
      <c r="A43" s="6" t="n">
        <v>40</v>
      </c>
      <c r="B43" s="13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9">
        <f>COUNTIF(C43:AF43,"P")</f>
        <v/>
      </c>
      <c r="AH43" s="10">
        <f>COUNTIF(C43:AF43,"A")</f>
        <v/>
      </c>
      <c r="AI43" s="11">
        <f>IFERROR(ROUND(AG43/(AG43+AH43)*100,0),"")</f>
        <v/>
      </c>
      <c r="AJ43" s="15">
        <f>IF(AI43="","",IF(AI43&gt;=75,"Good","Low"))</f>
        <v/>
      </c>
    </row>
    <row r="44" ht="16" customHeight="1">
      <c r="A44" s="6" t="n">
        <v>41</v>
      </c>
      <c r="B44" s="7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9">
        <f>COUNTIF(C44:AF44,"P")</f>
        <v/>
      </c>
      <c r="AH44" s="10">
        <f>COUNTIF(C44:AF44,"A")</f>
        <v/>
      </c>
      <c r="AI44" s="11">
        <f>IFERROR(ROUND(AG44/(AG44+AH44)*100,0),"")</f>
        <v/>
      </c>
      <c r="AJ44" s="12">
        <f>IF(AI44="","",IF(AI44&gt;=75,"Good","Low"))</f>
        <v/>
      </c>
    </row>
    <row r="45" ht="16" customHeight="1">
      <c r="A45" s="6" t="n">
        <v>42</v>
      </c>
      <c r="B45" s="13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9">
        <f>COUNTIF(C45:AF45,"P")</f>
        <v/>
      </c>
      <c r="AH45" s="10">
        <f>COUNTIF(C45:AF45,"A")</f>
        <v/>
      </c>
      <c r="AI45" s="11">
        <f>IFERROR(ROUND(AG45/(AG45+AH45)*100,0),"")</f>
        <v/>
      </c>
      <c r="AJ45" s="15">
        <f>IF(AI45="","",IF(AI45&gt;=75,"Good","Low"))</f>
        <v/>
      </c>
    </row>
    <row r="46" ht="16" customHeight="1">
      <c r="A46" s="6" t="n">
        <v>43</v>
      </c>
      <c r="B46" s="7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9">
        <f>COUNTIF(C46:AF46,"P")</f>
        <v/>
      </c>
      <c r="AH46" s="10">
        <f>COUNTIF(C46:AF46,"A")</f>
        <v/>
      </c>
      <c r="AI46" s="11">
        <f>IFERROR(ROUND(AG46/(AG46+AH46)*100,0),"")</f>
        <v/>
      </c>
      <c r="AJ46" s="12">
        <f>IF(AI46="","",IF(AI46&gt;=75,"Good","Low"))</f>
        <v/>
      </c>
    </row>
    <row r="47" ht="16" customHeight="1">
      <c r="A47" s="6" t="n">
        <v>44</v>
      </c>
      <c r="B47" s="13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9">
        <f>COUNTIF(C47:AF47,"P")</f>
        <v/>
      </c>
      <c r="AH47" s="10">
        <f>COUNTIF(C47:AF47,"A")</f>
        <v/>
      </c>
      <c r="AI47" s="11">
        <f>IFERROR(ROUND(AG47/(AG47+AH47)*100,0),"")</f>
        <v/>
      </c>
      <c r="AJ47" s="15">
        <f>IF(AI47="","",IF(AI47&gt;=75,"Good","Low"))</f>
        <v/>
      </c>
    </row>
    <row r="48" ht="16" customHeight="1">
      <c r="A48" s="6" t="n">
        <v>45</v>
      </c>
      <c r="B48" s="7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9">
        <f>COUNTIF(C48:AF48,"P")</f>
        <v/>
      </c>
      <c r="AH48" s="10">
        <f>COUNTIF(C48:AF48,"A")</f>
        <v/>
      </c>
      <c r="AI48" s="11">
        <f>IFERROR(ROUND(AG48/(AG48+AH48)*100,0),"")</f>
        <v/>
      </c>
      <c r="AJ48" s="12">
        <f>IF(AI48="","",IF(AI48&gt;=75,"Good","Low"))</f>
        <v/>
      </c>
    </row>
    <row r="49" ht="16" customHeight="1">
      <c r="A49" s="6" t="n">
        <v>46</v>
      </c>
      <c r="B49" s="13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9">
        <f>COUNTIF(C49:AF49,"P")</f>
        <v/>
      </c>
      <c r="AH49" s="10">
        <f>COUNTIF(C49:AF49,"A")</f>
        <v/>
      </c>
      <c r="AI49" s="11">
        <f>IFERROR(ROUND(AG49/(AG49+AH49)*100,0),"")</f>
        <v/>
      </c>
      <c r="AJ49" s="15">
        <f>IF(AI49="","",IF(AI49&gt;=75,"Good","Low"))</f>
        <v/>
      </c>
    </row>
    <row r="50" ht="16" customHeight="1">
      <c r="A50" s="6" t="n">
        <v>47</v>
      </c>
      <c r="B50" s="7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9">
        <f>COUNTIF(C50:AF50,"P")</f>
        <v/>
      </c>
      <c r="AH50" s="10">
        <f>COUNTIF(C50:AF50,"A")</f>
        <v/>
      </c>
      <c r="AI50" s="11">
        <f>IFERROR(ROUND(AG50/(AG50+AH50)*100,0),"")</f>
        <v/>
      </c>
      <c r="AJ50" s="12">
        <f>IF(AI50="","",IF(AI50&gt;=75,"Good","Low"))</f>
        <v/>
      </c>
    </row>
    <row r="51" ht="16" customHeight="1">
      <c r="A51" s="6" t="n">
        <v>48</v>
      </c>
      <c r="B51" s="13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9">
        <f>COUNTIF(C51:AF51,"P")</f>
        <v/>
      </c>
      <c r="AH51" s="10">
        <f>COUNTIF(C51:AF51,"A")</f>
        <v/>
      </c>
      <c r="AI51" s="11">
        <f>IFERROR(ROUND(AG51/(AG51+AH51)*100,0),"")</f>
        <v/>
      </c>
      <c r="AJ51" s="15">
        <f>IF(AI51="","",IF(AI51&gt;=75,"Good","Low"))</f>
        <v/>
      </c>
    </row>
    <row r="52" ht="16" customHeight="1">
      <c r="A52" s="6" t="n">
        <v>49</v>
      </c>
      <c r="B52" s="7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9">
        <f>COUNTIF(C52:AF52,"P")</f>
        <v/>
      </c>
      <c r="AH52" s="10">
        <f>COUNTIF(C52:AF52,"A")</f>
        <v/>
      </c>
      <c r="AI52" s="11">
        <f>IFERROR(ROUND(AG52/(AG52+AH52)*100,0),"")</f>
        <v/>
      </c>
      <c r="AJ52" s="12">
        <f>IF(AI52="","",IF(AI52&gt;=75,"Good","Low"))</f>
        <v/>
      </c>
    </row>
    <row r="53" ht="16" customHeight="1">
      <c r="A53" s="6" t="n">
        <v>50</v>
      </c>
      <c r="B53" s="13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14" t="n"/>
      <c r="AG53" s="9">
        <f>COUNTIF(C53:AF53,"P")</f>
        <v/>
      </c>
      <c r="AH53" s="10">
        <f>COUNTIF(C53:AF53,"A")</f>
        <v/>
      </c>
      <c r="AI53" s="11">
        <f>IFERROR(ROUND(AG53/(AG53+AH53)*100,0),"")</f>
        <v/>
      </c>
      <c r="AJ53" s="15">
        <f>IF(AI53="","",IF(AI53&gt;=75,"Good","Low"))</f>
        <v/>
      </c>
    </row>
  </sheetData>
  <mergeCells count="2">
    <mergeCell ref="A2:AG2"/>
    <mergeCell ref="A1:A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 ht="18" customHeight="1">
      <c r="A1" s="16" t="inlineStr">
        <is>
          <t>HOW TO USE THIS ATTENDANCE REGISTER</t>
        </is>
      </c>
    </row>
    <row r="2" ht="8" customHeight="1">
      <c r="A2" s="17" t="inlineStr"/>
    </row>
    <row r="3" ht="18" customHeight="1">
      <c r="A3" s="18" t="inlineStr">
        <is>
          <t>MARKING ATTENDANCE:</t>
        </is>
      </c>
    </row>
    <row r="4" ht="18" customHeight="1">
      <c r="A4" s="19" t="inlineStr">
        <is>
          <t>For each day, type  P  in the cell for students who are Present</t>
        </is>
      </c>
    </row>
    <row r="5" ht="18" customHeight="1">
      <c r="A5" s="19" t="inlineStr">
        <is>
          <t>For each day, type  A  in the cell for students who are Absent</t>
        </is>
      </c>
    </row>
    <row r="6" ht="18" customHeight="1">
      <c r="A6" s="19" t="inlineStr">
        <is>
          <t>Leave blank if school did not hold that day</t>
        </is>
      </c>
    </row>
    <row r="7" ht="8" customHeight="1">
      <c r="A7" s="17" t="inlineStr"/>
    </row>
    <row r="8" ht="18" customHeight="1">
      <c r="A8" s="18" t="inlineStr">
        <is>
          <t>AUTOMATIC CALCULATIONS:</t>
        </is>
      </c>
    </row>
    <row r="9" ht="18" customHeight="1">
      <c r="A9" s="19" t="inlineStr">
        <is>
          <t>The P column auto-counts total days Present (formula already entered)</t>
        </is>
      </c>
    </row>
    <row r="10" ht="18" customHeight="1">
      <c r="A10" s="19" t="inlineStr">
        <is>
          <t>The A column auto-counts total days Absent (formula already entered)</t>
        </is>
      </c>
    </row>
    <row r="11" ht="18" customHeight="1">
      <c r="A11" s="19" t="inlineStr">
        <is>
          <t>The % column shows the attendance percentage automatically</t>
        </is>
      </c>
    </row>
    <row r="12" ht="18" customHeight="1">
      <c r="A12" s="19" t="inlineStr">
        <is>
          <t>Good = 75% and above attendance | Low = below 75%</t>
        </is>
      </c>
    </row>
    <row r="13" ht="8" customHeight="1">
      <c r="A13" s="17" t="inlineStr"/>
    </row>
    <row r="14" ht="18" customHeight="1">
      <c r="A14" s="18" t="inlineStr">
        <is>
          <t>PRINTING:</t>
        </is>
      </c>
    </row>
    <row r="15" ht="18" customHeight="1">
      <c r="A15" s="19" t="inlineStr">
        <is>
          <t>File → Print → Set orientation to Landscape for best fit</t>
        </is>
      </c>
    </row>
    <row r="16" ht="8" customHeight="1">
      <c r="A16" s="17" t="inlineStr"/>
    </row>
    <row r="17" ht="18" customHeight="1">
      <c r="A17" s="20" t="inlineStr">
        <is>
          <t>Downloaded free from rehoteq.com | Rehoteq Technologies, Okitipupa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2026-03-28T01:45:49Z</dcterms:created>
  <dcterms:modified xmlns:dcterms="http://purl.org/dc/terms/" xmlns:xsi="http://www.w3.org/2001/XMLSchema-instance" xsi:type="dcterms:W3CDTF">2026-03-28T01:45:49Z</dcterms:modified>
</cp:coreProperties>
</file>